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rchive\github\promised-seed\history\"/>
    </mc:Choice>
  </mc:AlternateContent>
  <xr:revisionPtr revIDLastSave="0" documentId="13_ncr:1_{0358C526-773A-4D7A-9405-A5F79B4B14F0}" xr6:coauthVersionLast="47" xr6:coauthVersionMax="47" xr10:uidLastSave="{00000000-0000-0000-0000-000000000000}"/>
  <bookViews>
    <workbookView xWindow="11610" yWindow="1830" windowWidth="15735" windowHeight="12900" activeTab="2" xr2:uid="{00000000-000D-0000-FFFF-FFFF00000000}"/>
  </bookViews>
  <sheets>
    <sheet name="simple" sheetId="1" r:id="rId1"/>
    <sheet name="details" sheetId="2" r:id="rId2"/>
    <sheet name="height_for_li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1" l="1"/>
  <c r="F8" i="1"/>
  <c r="E2" i="3"/>
  <c r="E6" i="3"/>
  <c r="D5" i="3"/>
  <c r="C5" i="3"/>
  <c r="B5" i="3"/>
  <c r="B3" i="3"/>
  <c r="D2" i="3"/>
  <c r="D6" i="3" s="1"/>
  <c r="B2" i="3"/>
  <c r="B6" i="3" s="1"/>
  <c r="C2" i="3"/>
  <c r="C6" i="3" s="1"/>
  <c r="G10" i="2"/>
  <c r="F10" i="2"/>
  <c r="E10" i="2"/>
  <c r="D10" i="2"/>
  <c r="C10" i="2"/>
  <c r="B10" i="2"/>
  <c r="B8" i="1"/>
  <c r="E8" i="1"/>
  <c r="D8" i="1"/>
  <c r="C8" i="1"/>
  <c r="E3" i="3" l="1"/>
  <c r="E4" i="3"/>
  <c r="E5" i="3"/>
  <c r="C3" i="3"/>
  <c r="D3" i="3"/>
  <c r="D4" i="3"/>
  <c r="C4" i="3"/>
  <c r="B4" i="3"/>
</calcChain>
</file>

<file path=xl/sharedStrings.xml><?xml version="1.0" encoding="utf-8"?>
<sst xmlns="http://schemas.openxmlformats.org/spreadsheetml/2006/main" count="36" uniqueCount="24">
  <si>
    <t>from_to</t>
  </si>
  <si>
    <t>Adam - Noah</t>
  </si>
  <si>
    <t>Noah - Abraham</t>
  </si>
  <si>
    <t>Abraham - David</t>
  </si>
  <si>
    <t>David - Exile</t>
  </si>
  <si>
    <t>Luke</t>
  </si>
  <si>
    <t>Matthew</t>
  </si>
  <si>
    <t>legal</t>
  </si>
  <si>
    <t>maternal</t>
  </si>
  <si>
    <t>Exile - Zerubbabel</t>
  </si>
  <si>
    <t>Zerubbabel - Jesus</t>
  </si>
  <si>
    <t>sum</t>
  </si>
  <si>
    <t>TPS1</t>
  </si>
  <si>
    <t>TPS2</t>
  </si>
  <si>
    <t>Abraham - Judah</t>
  </si>
  <si>
    <t>Judah - David</t>
  </si>
  <si>
    <t>Solomon - Exile</t>
  </si>
  <si>
    <t>David - Solomon</t>
  </si>
  <si>
    <t>number of lines</t>
  </si>
  <si>
    <t>12 pt</t>
  </si>
  <si>
    <t>14 pt</t>
  </si>
  <si>
    <t>1 pt</t>
  </si>
  <si>
    <t>10 pt</t>
  </si>
  <si>
    <t>16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</si>
</sst>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sqref="A1:G8"/>
    </sheetView>
  </sheetViews>
  <sheetFormatPr baseColWidth="10" defaultColWidth="9.140625" defaultRowHeight="15" x14ac:dyDescent="0.25"/>
  <cols>
    <col min="1" max="1" width="17.5703125" bestFit="1" customWidth="1"/>
    <col min="2" max="6" width="9.140625" style="1"/>
  </cols>
  <sheetData>
    <row r="1" spans="1:7" x14ac:dyDescent="0.25">
      <c r="A1" t="s">
        <v>0</v>
      </c>
      <c r="B1" s="1" t="s">
        <v>5</v>
      </c>
      <c r="C1" s="1" t="s">
        <v>6</v>
      </c>
      <c r="D1" s="1" t="s">
        <v>8</v>
      </c>
      <c r="E1" s="1" t="s">
        <v>7</v>
      </c>
      <c r="F1" s="1" t="s">
        <v>12</v>
      </c>
      <c r="G1" s="1" t="s">
        <v>13</v>
      </c>
    </row>
    <row r="2" spans="1:7" x14ac:dyDescent="0.25">
      <c r="A2" t="s">
        <v>1</v>
      </c>
      <c r="B2" s="1">
        <v>10</v>
      </c>
      <c r="D2" s="1">
        <v>10</v>
      </c>
      <c r="E2" s="1">
        <v>10</v>
      </c>
      <c r="F2" s="1">
        <v>10</v>
      </c>
      <c r="G2" s="1">
        <v>10</v>
      </c>
    </row>
    <row r="3" spans="1:7" x14ac:dyDescent="0.25">
      <c r="A3" t="s">
        <v>2</v>
      </c>
      <c r="B3" s="1">
        <v>10</v>
      </c>
      <c r="D3" s="1">
        <v>10</v>
      </c>
      <c r="E3" s="1">
        <v>10</v>
      </c>
      <c r="F3" s="1">
        <v>10</v>
      </c>
      <c r="G3" s="1">
        <v>10</v>
      </c>
    </row>
    <row r="4" spans="1:7" x14ac:dyDescent="0.25">
      <c r="A4" t="s">
        <v>3</v>
      </c>
      <c r="B4" s="1">
        <v>13</v>
      </c>
      <c r="C4" s="1">
        <v>13</v>
      </c>
      <c r="D4" s="1">
        <v>13</v>
      </c>
      <c r="E4" s="1">
        <v>13</v>
      </c>
      <c r="F4" s="1">
        <v>13</v>
      </c>
      <c r="G4" s="1">
        <v>38</v>
      </c>
    </row>
    <row r="5" spans="1:7" x14ac:dyDescent="0.25">
      <c r="A5" t="s">
        <v>4</v>
      </c>
      <c r="B5" s="1">
        <v>20</v>
      </c>
      <c r="C5" s="1">
        <v>14</v>
      </c>
      <c r="D5" s="1">
        <v>19</v>
      </c>
      <c r="E5" s="1">
        <v>17</v>
      </c>
      <c r="F5" s="1">
        <v>21</v>
      </c>
      <c r="G5" s="1">
        <v>34</v>
      </c>
    </row>
    <row r="6" spans="1:7" x14ac:dyDescent="0.25">
      <c r="A6" t="s">
        <v>9</v>
      </c>
      <c r="B6" s="1">
        <v>2</v>
      </c>
      <c r="C6" s="1">
        <v>2</v>
      </c>
      <c r="D6" s="1">
        <v>3</v>
      </c>
      <c r="E6" s="1">
        <v>3</v>
      </c>
    </row>
    <row r="7" spans="1:7" x14ac:dyDescent="0.25">
      <c r="A7" t="s">
        <v>10</v>
      </c>
      <c r="B7" s="1">
        <v>20</v>
      </c>
      <c r="C7" s="1">
        <v>11</v>
      </c>
      <c r="D7" s="1">
        <v>20</v>
      </c>
      <c r="E7" s="1">
        <v>11</v>
      </c>
      <c r="F7" s="1">
        <v>11</v>
      </c>
      <c r="G7" s="1">
        <v>20</v>
      </c>
    </row>
    <row r="8" spans="1:7" x14ac:dyDescent="0.25">
      <c r="A8" t="s">
        <v>11</v>
      </c>
      <c r="B8" s="1">
        <f>SUM(B2:B7)</f>
        <v>75</v>
      </c>
      <c r="C8" s="1">
        <f>SUM(C2:C7)</f>
        <v>40</v>
      </c>
      <c r="D8" s="1">
        <f>SUM(D2:D7)</f>
        <v>75</v>
      </c>
      <c r="E8" s="1">
        <f>SUM(E2:E7)</f>
        <v>64</v>
      </c>
      <c r="F8" s="1">
        <f>SUM(F2:F7)</f>
        <v>65</v>
      </c>
      <c r="G8" s="1">
        <f>SUM(G2:G7)</f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45B5-17DB-4929-A668-01EF1AA90E40}">
  <dimension ref="A1:G10"/>
  <sheetViews>
    <sheetView workbookViewId="0">
      <selection activeCell="G1" sqref="G1"/>
    </sheetView>
  </sheetViews>
  <sheetFormatPr baseColWidth="10" defaultRowHeight="15" x14ac:dyDescent="0.25"/>
  <cols>
    <col min="1" max="1" width="17.5703125" bestFit="1" customWidth="1"/>
    <col min="2" max="6" width="10.42578125" customWidth="1"/>
  </cols>
  <sheetData>
    <row r="1" spans="1:7" x14ac:dyDescent="0.25">
      <c r="A1" t="s">
        <v>0</v>
      </c>
      <c r="B1" s="1" t="s">
        <v>5</v>
      </c>
      <c r="C1" s="1" t="s">
        <v>6</v>
      </c>
      <c r="D1" s="1" t="s">
        <v>8</v>
      </c>
      <c r="E1" s="1" t="s">
        <v>7</v>
      </c>
      <c r="F1" s="1" t="s">
        <v>12</v>
      </c>
      <c r="G1" s="1" t="s">
        <v>13</v>
      </c>
    </row>
    <row r="2" spans="1:7" x14ac:dyDescent="0.25">
      <c r="A2" t="s">
        <v>1</v>
      </c>
      <c r="B2" s="1">
        <v>10</v>
      </c>
      <c r="C2" s="1"/>
      <c r="D2" s="1">
        <v>10</v>
      </c>
      <c r="E2" s="1">
        <v>10</v>
      </c>
      <c r="F2" s="1">
        <v>10</v>
      </c>
      <c r="G2" s="1">
        <v>10</v>
      </c>
    </row>
    <row r="3" spans="1:7" x14ac:dyDescent="0.25">
      <c r="A3" t="s">
        <v>2</v>
      </c>
      <c r="B3" s="1">
        <v>10</v>
      </c>
      <c r="C3" s="1"/>
      <c r="D3" s="1">
        <v>10</v>
      </c>
      <c r="E3" s="1">
        <v>10</v>
      </c>
      <c r="F3" s="1">
        <v>10</v>
      </c>
      <c r="G3" s="1">
        <v>10</v>
      </c>
    </row>
    <row r="4" spans="1:7" x14ac:dyDescent="0.25">
      <c r="A4" t="s">
        <v>14</v>
      </c>
      <c r="B4" s="1">
        <v>13</v>
      </c>
      <c r="C4" s="1">
        <v>13</v>
      </c>
      <c r="D4" s="1">
        <v>13</v>
      </c>
      <c r="E4" s="1">
        <v>13</v>
      </c>
      <c r="F4" s="1">
        <v>4</v>
      </c>
      <c r="G4" s="1">
        <v>11</v>
      </c>
    </row>
    <row r="5" spans="1:7" x14ac:dyDescent="0.25">
      <c r="A5" t="s">
        <v>15</v>
      </c>
      <c r="B5" s="1"/>
      <c r="C5" s="1"/>
      <c r="D5" s="1"/>
      <c r="E5" s="1"/>
      <c r="F5" s="1">
        <v>10</v>
      </c>
      <c r="G5" s="1">
        <v>27</v>
      </c>
    </row>
    <row r="6" spans="1:7" x14ac:dyDescent="0.25">
      <c r="A6" t="s">
        <v>17</v>
      </c>
      <c r="B6" s="1">
        <v>20</v>
      </c>
      <c r="C6" s="1">
        <v>14</v>
      </c>
      <c r="D6" s="1">
        <v>19</v>
      </c>
      <c r="E6" s="1">
        <v>17</v>
      </c>
      <c r="F6" s="1">
        <v>1</v>
      </c>
      <c r="G6" s="1">
        <v>9</v>
      </c>
    </row>
    <row r="7" spans="1:7" x14ac:dyDescent="0.25">
      <c r="A7" t="s">
        <v>16</v>
      </c>
      <c r="B7" s="1"/>
      <c r="C7" s="1"/>
      <c r="D7" s="1"/>
      <c r="E7" s="1"/>
      <c r="F7" s="1">
        <v>20</v>
      </c>
      <c r="G7" s="1">
        <v>25</v>
      </c>
    </row>
    <row r="8" spans="1:7" x14ac:dyDescent="0.25">
      <c r="A8" t="s">
        <v>9</v>
      </c>
      <c r="B8" s="1">
        <v>2</v>
      </c>
      <c r="C8" s="1">
        <v>2</v>
      </c>
      <c r="D8" s="1">
        <v>3</v>
      </c>
      <c r="E8" s="1">
        <v>3</v>
      </c>
      <c r="F8" s="1"/>
    </row>
    <row r="9" spans="1:7" x14ac:dyDescent="0.25">
      <c r="A9" t="s">
        <v>10</v>
      </c>
      <c r="B9" s="1">
        <v>20</v>
      </c>
      <c r="C9" s="1">
        <v>11</v>
      </c>
      <c r="D9" s="1">
        <v>20</v>
      </c>
      <c r="E9" s="1">
        <v>11</v>
      </c>
      <c r="F9" s="1">
        <v>11</v>
      </c>
      <c r="G9" s="1">
        <v>20</v>
      </c>
    </row>
    <row r="10" spans="1:7" x14ac:dyDescent="0.25">
      <c r="A10" t="s">
        <v>11</v>
      </c>
      <c r="B10" s="1">
        <f>SUM(B2:B9)</f>
        <v>75</v>
      </c>
      <c r="C10" s="1">
        <f>SUM(C2:C9)</f>
        <v>40</v>
      </c>
      <c r="D10" s="1">
        <f>SUM(D2:D9)</f>
        <v>75</v>
      </c>
      <c r="E10" s="1">
        <f>SUM(E2:E9)</f>
        <v>64</v>
      </c>
      <c r="F10" s="1">
        <f>SUM(F2:F9)</f>
        <v>66</v>
      </c>
      <c r="G10" s="1">
        <f>SUM(G2:G9)</f>
        <v>112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0D41-9D1E-487A-AAEB-2DE5A1EA4633}">
  <dimension ref="A1:E7"/>
  <sheetViews>
    <sheetView tabSelected="1" workbookViewId="0">
      <selection sqref="A1:E7"/>
    </sheetView>
  </sheetViews>
  <sheetFormatPr baseColWidth="10" defaultRowHeight="15" x14ac:dyDescent="0.25"/>
  <cols>
    <col min="1" max="1" width="15" style="1" bestFit="1" customWidth="1"/>
    <col min="2" max="5" width="7.5703125" customWidth="1"/>
  </cols>
  <sheetData>
    <row r="1" spans="1:5" x14ac:dyDescent="0.25">
      <c r="A1" s="1" t="s">
        <v>18</v>
      </c>
      <c r="B1" s="1" t="s">
        <v>22</v>
      </c>
      <c r="C1" s="1" t="s">
        <v>19</v>
      </c>
      <c r="D1" s="1" t="s">
        <v>20</v>
      </c>
      <c r="E1" s="1" t="s">
        <v>23</v>
      </c>
    </row>
    <row r="2" spans="1:5" x14ac:dyDescent="0.25">
      <c r="A2" s="1">
        <v>1</v>
      </c>
      <c r="B2" s="2">
        <f>B7*10</f>
        <v>3.528</v>
      </c>
      <c r="C2" s="2">
        <f>C7*12</f>
        <v>4.2336</v>
      </c>
      <c r="D2" s="2">
        <f>D7*14</f>
        <v>4.9391999999999996</v>
      </c>
      <c r="E2" s="2">
        <f>E7*16</f>
        <v>5.6448</v>
      </c>
    </row>
    <row r="3" spans="1:5" x14ac:dyDescent="0.25">
      <c r="A3" s="1">
        <v>66</v>
      </c>
      <c r="B3" s="2">
        <f>B$2*$A3</f>
        <v>232.84800000000001</v>
      </c>
      <c r="C3" s="2">
        <f>C$2*$A3</f>
        <v>279.41759999999999</v>
      </c>
      <c r="D3" s="2">
        <f>D$2*$A3</f>
        <v>325.98719999999997</v>
      </c>
      <c r="E3" s="2">
        <f>E$2*$A3</f>
        <v>372.55680000000001</v>
      </c>
    </row>
    <row r="4" spans="1:5" x14ac:dyDescent="0.25">
      <c r="A4" s="1">
        <v>75</v>
      </c>
      <c r="B4" s="2">
        <f>B$2*$A4</f>
        <v>264.60000000000002</v>
      </c>
      <c r="C4" s="2">
        <f>C$2*$A4</f>
        <v>317.52</v>
      </c>
      <c r="D4" s="2">
        <f t="shared" ref="D4:E6" si="0">D$2*$A4</f>
        <v>370.43999999999994</v>
      </c>
      <c r="E4" s="2">
        <f t="shared" si="0"/>
        <v>423.36</v>
      </c>
    </row>
    <row r="5" spans="1:5" x14ac:dyDescent="0.25">
      <c r="A5" s="1">
        <v>85</v>
      </c>
      <c r="B5" s="2">
        <f>B$2*$A5</f>
        <v>299.88</v>
      </c>
      <c r="C5" s="2">
        <f>C$2*$A5</f>
        <v>359.85599999999999</v>
      </c>
      <c r="D5" s="2">
        <f t="shared" si="0"/>
        <v>419.83199999999999</v>
      </c>
      <c r="E5" s="2">
        <f t="shared" si="0"/>
        <v>479.80799999999999</v>
      </c>
    </row>
    <row r="6" spans="1:5" x14ac:dyDescent="0.25">
      <c r="A6" s="1">
        <v>112</v>
      </c>
      <c r="B6" s="2">
        <f>B$2*$A6</f>
        <v>395.13600000000002</v>
      </c>
      <c r="C6" s="2">
        <f>C$2*$A6</f>
        <v>474.16320000000002</v>
      </c>
      <c r="D6" s="2">
        <f t="shared" si="0"/>
        <v>553.19039999999995</v>
      </c>
      <c r="E6" s="2">
        <f t="shared" si="0"/>
        <v>632.21759999999995</v>
      </c>
    </row>
    <row r="7" spans="1:5" x14ac:dyDescent="0.25">
      <c r="A7" s="1" t="s">
        <v>21</v>
      </c>
      <c r="B7">
        <v>0.3528</v>
      </c>
      <c r="C7">
        <v>0.3528</v>
      </c>
      <c r="D7">
        <v>0.3528</v>
      </c>
      <c r="E7">
        <v>0.3528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simple</vt:lpstr>
      <vt:lpstr>details</vt:lpstr>
      <vt:lpstr>height_for_lines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Kreier Matthias</cp:lastModifiedBy>
  <dcterms:created xsi:type="dcterms:W3CDTF">2015-06-05T18:19:34Z</dcterms:created>
  <dcterms:modified xsi:type="dcterms:W3CDTF">2025-11-29T18:09:23Z</dcterms:modified>
</cp:coreProperties>
</file>